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K" sheetId="1" r:id="rId5"/>
    <sheet state="visible" name="DRB" sheetId="2" r:id="rId6"/>
    <sheet state="visible" name="CAS" sheetId="3" r:id="rId7"/>
    <sheet state="visible" name="RBT" sheetId="4" r:id="rId8"/>
    <sheet state="visible" name="NEW JOINER" sheetId="5" r:id="rId9"/>
    <sheet state="visible" name="ALL AGENT" sheetId="6" r:id="rId10"/>
  </sheets>
  <definedNames>
    <definedName hidden="1" localSheetId="3" name="_xlnm._FilterDatabase">RBT!$I$1:$I$1005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tc={d09276a4-6831-4b20-b85d-27e677d0404b}</author>
  </authors>
  <commentList>
    <comment authorId="0" xr:uid="{d09276a4-6831-4b20-b85d-27e677d0404b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@simo.b@glovoapp.com
Assigned to simo.b@glovoapp.com
</t>
      </text>
    </comment>
  </commentList>
</comments>
</file>

<file path=xl/sharedStrings.xml><?xml version="1.0" encoding="utf-8"?>
<sst xmlns="http://schemas.openxmlformats.org/spreadsheetml/2006/main" count="683" uniqueCount="182">
  <si>
    <t>BSK</t>
  </si>
  <si>
    <t>MONDAY</t>
  </si>
  <si>
    <t>TUESDAY</t>
  </si>
  <si>
    <t>WEDNESDAY</t>
  </si>
  <si>
    <t>THURSDAY</t>
  </si>
  <si>
    <t>FRIDAY</t>
  </si>
  <si>
    <t>SATURDAY</t>
  </si>
  <si>
    <t>SUNDAY</t>
  </si>
  <si>
    <t>ABDESSAMAD</t>
  </si>
  <si>
    <t>18:00-02:00</t>
  </si>
  <si>
    <t>OFF</t>
  </si>
  <si>
    <t>HAMID</t>
  </si>
  <si>
    <t>09:00-16:00</t>
  </si>
  <si>
    <t>12:00-19:00</t>
  </si>
  <si>
    <t>17:00-01:00</t>
  </si>
  <si>
    <t>AYMAN</t>
  </si>
  <si>
    <t>MORAD</t>
  </si>
  <si>
    <t>16:00-23:00</t>
  </si>
  <si>
    <t>10:00-17:00</t>
  </si>
  <si>
    <t>10:00-18:00</t>
  </si>
  <si>
    <t>LOUTFI</t>
  </si>
  <si>
    <t>CAS</t>
  </si>
  <si>
    <t>11:00-18:00</t>
  </si>
  <si>
    <t>DRB</t>
  </si>
  <si>
    <t>SAID</t>
  </si>
  <si>
    <t>12:00-20:00</t>
  </si>
  <si>
    <t>16:00-00:00</t>
  </si>
  <si>
    <t>AZIZ</t>
  </si>
  <si>
    <t>19:00-02:00</t>
  </si>
  <si>
    <t>OUSSAMA</t>
  </si>
  <si>
    <t>ADIL</t>
  </si>
  <si>
    <t>09:00-17:00</t>
  </si>
  <si>
    <t>CHOAIB</t>
  </si>
  <si>
    <t>ABDELAZIZ</t>
  </si>
  <si>
    <t>AHMED HABIB EDDINE</t>
  </si>
  <si>
    <t>13:00-20:00</t>
  </si>
  <si>
    <t>17:00-00:00</t>
  </si>
  <si>
    <t>21:00-05:00</t>
  </si>
  <si>
    <t>AYMANE</t>
  </si>
  <si>
    <t xml:space="preserve">MOHAMED </t>
  </si>
  <si>
    <t>21:00-04:00</t>
  </si>
  <si>
    <t>ISMAIL</t>
  </si>
  <si>
    <t>HAMZA 2</t>
  </si>
  <si>
    <t>13:00-21:00</t>
  </si>
  <si>
    <t>LAHCEN</t>
  </si>
  <si>
    <t>ANASS</t>
  </si>
  <si>
    <t>HAMZA ACHOUBI</t>
  </si>
  <si>
    <t>BRAHIM</t>
  </si>
  <si>
    <t>AYOUB MANSOUR</t>
  </si>
  <si>
    <t>SALAH JALIL</t>
  </si>
  <si>
    <t>ABDELKHALEQ</t>
  </si>
  <si>
    <t>REDA LKOUHEL</t>
  </si>
  <si>
    <t>OUSSAMA MKIRIZ</t>
  </si>
  <si>
    <t>RBT</t>
  </si>
  <si>
    <t>ZONE</t>
  </si>
  <si>
    <t>Mourad Cherradi</t>
  </si>
  <si>
    <t>09:00 - 16:00</t>
  </si>
  <si>
    <t>RABAT</t>
  </si>
  <si>
    <t>RABAT 1</t>
  </si>
  <si>
    <t>MORNING</t>
  </si>
  <si>
    <t>Islam Elmardi</t>
  </si>
  <si>
    <t>YAHYA RHALLAB</t>
  </si>
  <si>
    <t>RABAT 2</t>
  </si>
  <si>
    <t>AYOUB ABSSI</t>
  </si>
  <si>
    <t>hassan azgoune</t>
  </si>
  <si>
    <t>20:30-03:30</t>
  </si>
  <si>
    <t>19:00 - 03:30</t>
  </si>
  <si>
    <t>SALE</t>
  </si>
  <si>
    <t>SALE 1</t>
  </si>
  <si>
    <t>NIGHT</t>
  </si>
  <si>
    <t>Ayoub Ben Malek</t>
  </si>
  <si>
    <t>AYMANE CHLIFANE</t>
  </si>
  <si>
    <t>09:00 - 15:00</t>
  </si>
  <si>
    <t>RABAT 3</t>
  </si>
  <si>
    <t>SALE 2</t>
  </si>
  <si>
    <t>Zakarie benali</t>
  </si>
  <si>
    <t>Imad Tamidi</t>
  </si>
  <si>
    <t>11:00 - 19:00</t>
  </si>
  <si>
    <t>08:00 - 15:00</t>
  </si>
  <si>
    <t>TEMMARA</t>
  </si>
  <si>
    <t>TEMMARA 1</t>
  </si>
  <si>
    <t>Najib Harati</t>
  </si>
  <si>
    <t>15:00 - 22:00</t>
  </si>
  <si>
    <t>15:00 - 23:00</t>
  </si>
  <si>
    <t>RABAT 4</t>
  </si>
  <si>
    <t>MIDDLE</t>
  </si>
  <si>
    <t>OUSSAMA CHENNAOUI</t>
  </si>
  <si>
    <t>RABAT 5</t>
  </si>
  <si>
    <t>Youssef Derkaoui</t>
  </si>
  <si>
    <t>Charaf Loummihi</t>
  </si>
  <si>
    <t>11:00 - 18:00</t>
  </si>
  <si>
    <t>SALE 3</t>
  </si>
  <si>
    <t>RABAT 6</t>
  </si>
  <si>
    <t>Achraf Akhlij</t>
  </si>
  <si>
    <t>RABAT 7</t>
  </si>
  <si>
    <t>SALE 4</t>
  </si>
  <si>
    <t>RABAT 8</t>
  </si>
  <si>
    <t>14:00 - 21:00</t>
  </si>
  <si>
    <t>14:00 - 22:00</t>
  </si>
  <si>
    <t>TEMMARA 2</t>
  </si>
  <si>
    <t>Oussama El Atrach</t>
  </si>
  <si>
    <t>RABAT - TEMMARA</t>
  </si>
  <si>
    <t>RABAT 9</t>
  </si>
  <si>
    <t>TEMMARA NIGHT</t>
  </si>
  <si>
    <t>Oussama Chenaoui</t>
  </si>
  <si>
    <t>08:00 - 16:00</t>
  </si>
  <si>
    <t>Zakariae Benali</t>
  </si>
  <si>
    <t>19:00 - 02:00</t>
  </si>
  <si>
    <t>18:00 - 02:00</t>
  </si>
  <si>
    <t>Aymane Chlifane</t>
  </si>
  <si>
    <t>Yahya Rhallab</t>
  </si>
  <si>
    <t>Hassan Azgoune</t>
  </si>
  <si>
    <t>Ayoub Abssi</t>
  </si>
  <si>
    <t>TOUBI</t>
  </si>
  <si>
    <t>ZAKARIA</t>
  </si>
  <si>
    <t>KAMAL JAGHAR</t>
  </si>
  <si>
    <t>19:00-02:01</t>
  </si>
  <si>
    <t>ELMEHDI ELBARNOUSSI</t>
  </si>
  <si>
    <t>YASSINE</t>
  </si>
  <si>
    <t>Name</t>
  </si>
  <si>
    <t>City</t>
  </si>
  <si>
    <t xml:space="preserve">Number </t>
  </si>
  <si>
    <t>Mail</t>
  </si>
  <si>
    <t>ISMAIL BAHI</t>
  </si>
  <si>
    <t>Ismailbahi68@gmail.com</t>
  </si>
  <si>
    <t>MOHAMED BOUHAJI</t>
  </si>
  <si>
    <t>simobouhaji.123@gmail.com</t>
  </si>
  <si>
    <t>LAHCANE KHOUDRY</t>
  </si>
  <si>
    <t>lhssankhoudri@gmail.com</t>
  </si>
  <si>
    <t>ABDELAZIZ SALIMI</t>
  </si>
  <si>
    <t>aziz36928@gmail.com</t>
  </si>
  <si>
    <t>hamza.10achoubi@gmail.com</t>
  </si>
  <si>
    <t>AYMNE BELGARA</t>
  </si>
  <si>
    <t>Aymanbelgara43@gmail.com</t>
  </si>
  <si>
    <t>Abdou.nainia87@gmail.com</t>
  </si>
  <si>
    <t>HABIB EDDINE AHMED</t>
  </si>
  <si>
    <t>Habibeddine.ahmed.1993@gmail.com</t>
  </si>
  <si>
    <t>HAMZA KARIM</t>
  </si>
  <si>
    <t>fzislamkarim@gmail.com</t>
  </si>
  <si>
    <t>BRAHIM LACHGUIR</t>
  </si>
  <si>
    <t>Brahimlachguer28@gmail.com</t>
  </si>
  <si>
    <t>ANAS RAJID</t>
  </si>
  <si>
    <t>anoussrajid37@gmail.com</t>
  </si>
  <si>
    <t>ABDELKARIM SABBANE</t>
  </si>
  <si>
    <t>Abdelkrimsabbane@gmail.com</t>
  </si>
  <si>
    <t>OUSSAMA OUAKIL</t>
  </si>
  <si>
    <t>oussamaouakil21@gmail.com</t>
  </si>
  <si>
    <t>AZIZ ESSAILI</t>
  </si>
  <si>
    <t>azizessaili@gmail.com</t>
  </si>
  <si>
    <t>SAID OUMBAREK</t>
  </si>
  <si>
    <t>oumbarek90@gmail.com</t>
  </si>
  <si>
    <t>MORAD MURID</t>
  </si>
  <si>
    <t>m.morid1993@gmail.com</t>
  </si>
  <si>
    <t>HAMID TARIK</t>
  </si>
  <si>
    <t>hamidtarik995@gmail.com</t>
  </si>
  <si>
    <t>ABDELBASSET BAIDI</t>
  </si>
  <si>
    <t>Abdelbasstbaidi@gmail.com</t>
  </si>
  <si>
    <t>raxmou96@gmail.com</t>
  </si>
  <si>
    <t>Yahyarhallab00@gmail.com</t>
  </si>
  <si>
    <t>Hassan.azgoune95@gmail.com</t>
  </si>
  <si>
    <t>Aymanechlihfane639@gmail.com</t>
  </si>
  <si>
    <t>jadalaeayoub@gmail.com</t>
  </si>
  <si>
    <t>Tamdiimad.2018@gmail.com</t>
  </si>
  <si>
    <t>islamelmardi.1993@gmail.com</t>
  </si>
  <si>
    <t>Ayoubabssi05@gmail.com</t>
  </si>
  <si>
    <t>loummihic@gmail.com</t>
  </si>
  <si>
    <t>Achraf.akhlij2005@gmail.com</t>
  </si>
  <si>
    <t>Ossolivan06@gmail.com</t>
  </si>
  <si>
    <t>Zakariaebenaliwork@gmail.com</t>
  </si>
  <si>
    <t>Altuslabcom@gmail.com</t>
  </si>
  <si>
    <t>najib.harati@gmail.com</t>
  </si>
  <si>
    <t>O. El Atrach</t>
  </si>
  <si>
    <t>Redakouhel123@gmail.com</t>
  </si>
  <si>
    <t>oussamamkiriz04@gmail.com</t>
  </si>
  <si>
    <t>kamaljaghar0707@gmail.com</t>
  </si>
  <si>
    <t>elbarnossi.elmehdi93@gmail.com</t>
  </si>
  <si>
    <t>AYMEN GHAZI</t>
  </si>
  <si>
    <t>Aymenghazi490@gmail.com</t>
  </si>
  <si>
    <t>salahvenom19@gmail.com</t>
  </si>
  <si>
    <t>ZAKARIA RAJI</t>
  </si>
  <si>
    <t>zakariaraji2002@gmail.com</t>
  </si>
  <si>
    <t>ayoubmans378@gmail.com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</si>
</sst>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rgb="FF000000"/>
      <name val="Roboto"/>
    </font>
    <font>
      <b/>
      <u/>
      <sz val="11.0"/>
      <color rgb="FF000000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A64D79"/>
        <bgColor rgb="FFA64D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5" fontId="2" numFmtId="0" xfId="0" applyFill="1" applyFont="1"/>
    <xf borderId="0" fillId="5" fontId="1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1" fillId="4" fontId="1" numFmtId="0" xfId="0" applyAlignment="1" applyBorder="1" applyFont="1">
      <alignment horizontal="center" readingOrder="0"/>
    </xf>
    <xf borderId="0" fillId="6" fontId="2" numFmtId="0" xfId="0" applyFill="1" applyFont="1"/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horizontal="center" readingOrder="0" vertical="bottom"/>
    </xf>
    <xf borderId="1" fillId="7" fontId="4" numFmtId="0" xfId="0" applyAlignment="1" applyBorder="1" applyFill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readingOrder="0" vertical="bottom"/>
    </xf>
    <xf borderId="1" fillId="8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1" fillId="5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8136e26d-2a03-4767-9541-b7f5aef5db60}">
    <Anchor>
      <Comment id="{d09276a4-6831-4b20-b85d-27e677d0404b}"/>
    </Anchor>
    <History>
      <Event time="2026-02-26T12:00:34.00" id="{8069bf98-cdd1-4412-882b-ffbae2ecc9ad}">
        <Attribution userId="placeholder@email.com" userName="Choaib Knari" userProvider="google-sheets"/>
        <Anchor>
          <Comment id="{d09276a4-6831-4b20-b85d-27e677d0404b}"/>
        </Anchor>
        <Create/>
      </Event>
      <Event time="2026-02-26T12:00:34.00" id="{1dabc7b0-5db5-4782-93fb-2d05971552b0}">
        <Attribution userId="placeholder@email.com" userName="Choaib Knari" userProvider="google-sheets"/>
        <Anchor>
          <Comment id="{d09276a4-6831-4b20-b85d-27e677d0404b}"/>
        </Anchor>
        <Assign userId="simo.b@glovoapp.com" userName="simo.b@glovoapp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oaib Knari" id="{ef7169a8-3dd1-44c5-bda8-825b5e19005a}" providerId="google-sheets"/>
  <x18tc:person displayName="simo.b@glovoapp.com" id="{d7aee713-10a2-4394-a49a-9256035dbcb1}" userId="simo.b@glovoapp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" dT="2026-02-26T12:00:34.00" personId="{ef7169a8-3dd1-44c5-bda8-825b5e19005a}" id="{d09276a4-6831-4b20-b85d-27e677d0404b}" done="1">
    <x18tc:text xml:space="preserve">@simo.b@glovoapp.com
Assigned to simo.b@glovoapp.com</x18tc:text>
    <x18tc:mentions>
      <x18tc:mention mentionpersonId="{d7aee713-10a2-4394-a49a-9256035dbcb1}" mentionId="{2c4618fd-14b4-4fa1-a76c-e95058c63051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mailto:elbarnossi.elmehdi93@gmail.com" TargetMode="External"/><Relationship Id="rId11" Type="http://schemas.openxmlformats.org/officeDocument/2006/relationships/hyperlink" Target="mailto:hamidtarik995@gmail.com" TargetMode="External"/><Relationship Id="rId22" Type="http://schemas.openxmlformats.org/officeDocument/2006/relationships/hyperlink" Target="mailto:ayoubmans378@gmail.com" TargetMode="External"/><Relationship Id="rId10" Type="http://schemas.openxmlformats.org/officeDocument/2006/relationships/hyperlink" Target="mailto:m.morid1993@gmail.com" TargetMode="External"/><Relationship Id="rId21" Type="http://schemas.openxmlformats.org/officeDocument/2006/relationships/hyperlink" Target="mailto:salahvenom19@gmail.com" TargetMode="External"/><Relationship Id="rId13" Type="http://schemas.openxmlformats.org/officeDocument/2006/relationships/hyperlink" Target="mailto:jadalaeayoub@gmail.com" TargetMode="External"/><Relationship Id="rId12" Type="http://schemas.openxmlformats.org/officeDocument/2006/relationships/hyperlink" Target="mailto:raxmou96@gmail.com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mailto:simobouhaji.123@gmail.com" TargetMode="External"/><Relationship Id="rId2" Type="http://schemas.openxmlformats.org/officeDocument/2006/relationships/hyperlink" Target="mailto:lhssankhoudri@gmail.com" TargetMode="External"/><Relationship Id="rId3" Type="http://schemas.openxmlformats.org/officeDocument/2006/relationships/hyperlink" Target="mailto:aziz36928@gmail.com" TargetMode="External"/><Relationship Id="rId4" Type="http://schemas.openxmlformats.org/officeDocument/2006/relationships/hyperlink" Target="mailto:hamza.10achoubi@gmail.com" TargetMode="External"/><Relationship Id="rId9" Type="http://schemas.openxmlformats.org/officeDocument/2006/relationships/hyperlink" Target="mailto:oumbarek90@gmail.com" TargetMode="External"/><Relationship Id="rId15" Type="http://schemas.openxmlformats.org/officeDocument/2006/relationships/hyperlink" Target="mailto:loummihic@gmail.com" TargetMode="External"/><Relationship Id="rId14" Type="http://schemas.openxmlformats.org/officeDocument/2006/relationships/hyperlink" Target="mailto:islamelmardi.1993@gmail.com" TargetMode="External"/><Relationship Id="rId17" Type="http://schemas.openxmlformats.org/officeDocument/2006/relationships/hyperlink" Target="mailto:oussamaelat@gmail.com" TargetMode="External"/><Relationship Id="rId16" Type="http://schemas.openxmlformats.org/officeDocument/2006/relationships/hyperlink" Target="mailto:najib.harati@gmail.com" TargetMode="External"/><Relationship Id="rId5" Type="http://schemas.openxmlformats.org/officeDocument/2006/relationships/hyperlink" Target="mailto:fzislamkarim@gmail.com" TargetMode="External"/><Relationship Id="rId19" Type="http://schemas.openxmlformats.org/officeDocument/2006/relationships/hyperlink" Target="mailto:kamaljaghar0707@gmail.com" TargetMode="External"/><Relationship Id="rId6" Type="http://schemas.openxmlformats.org/officeDocument/2006/relationships/hyperlink" Target="mailto:anoussrajid37@gmail.com" TargetMode="External"/><Relationship Id="rId18" Type="http://schemas.openxmlformats.org/officeDocument/2006/relationships/hyperlink" Target="mailto:oussamamkiriz04@gmail.com" TargetMode="External"/><Relationship Id="rId7" Type="http://schemas.openxmlformats.org/officeDocument/2006/relationships/hyperlink" Target="mailto:oussamaouakil21@gmail.com" TargetMode="External"/><Relationship Id="rId8" Type="http://schemas.openxmlformats.org/officeDocument/2006/relationships/hyperlink" Target="mailto:azizessai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13.88"/>
    <col customWidth="1" min="5" max="5" width="11.88"/>
  </cols>
  <sheetData>
    <row r="1">
      <c r="B1" s="1"/>
      <c r="C1" s="1"/>
      <c r="D1" s="1"/>
      <c r="E1" s="2" t="s">
        <v>0</v>
      </c>
      <c r="F1" s="1"/>
      <c r="G1" s="1"/>
      <c r="H1" s="1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4" t="s">
        <v>8</v>
      </c>
      <c r="B3" s="3" t="s">
        <v>9</v>
      </c>
      <c r="C3" s="5" t="s">
        <v>10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>
      <c r="A4" s="4" t="s">
        <v>11</v>
      </c>
      <c r="B4" s="3" t="s">
        <v>12</v>
      </c>
      <c r="C4" s="3" t="s">
        <v>13</v>
      </c>
      <c r="D4" s="3" t="s">
        <v>13</v>
      </c>
      <c r="E4" s="5" t="s">
        <v>10</v>
      </c>
      <c r="F4" s="3" t="s">
        <v>14</v>
      </c>
      <c r="G4" s="3" t="s">
        <v>14</v>
      </c>
      <c r="H4" s="3" t="s">
        <v>9</v>
      </c>
    </row>
    <row r="5">
      <c r="A5" s="4" t="s">
        <v>15</v>
      </c>
      <c r="B5" s="3" t="s">
        <v>13</v>
      </c>
      <c r="C5" s="3" t="s">
        <v>9</v>
      </c>
      <c r="D5" s="5" t="s">
        <v>10</v>
      </c>
      <c r="E5" s="3" t="s">
        <v>13</v>
      </c>
      <c r="F5" s="3" t="s">
        <v>13</v>
      </c>
      <c r="G5" s="3" t="s">
        <v>13</v>
      </c>
      <c r="H5" s="3" t="s">
        <v>13</v>
      </c>
    </row>
    <row r="6">
      <c r="A6" s="4" t="s">
        <v>16</v>
      </c>
      <c r="B6" s="5" t="s">
        <v>10</v>
      </c>
      <c r="C6" s="3" t="s">
        <v>12</v>
      </c>
      <c r="D6" s="3" t="s">
        <v>12</v>
      </c>
      <c r="E6" s="3" t="s">
        <v>17</v>
      </c>
      <c r="F6" s="3" t="s">
        <v>18</v>
      </c>
      <c r="G6" s="3" t="s">
        <v>19</v>
      </c>
      <c r="H6" s="3" t="s">
        <v>19</v>
      </c>
    </row>
    <row r="7">
      <c r="B7" s="1"/>
      <c r="C7" s="1"/>
      <c r="D7" s="1"/>
      <c r="E7" s="2" t="s">
        <v>20</v>
      </c>
      <c r="F7" s="1"/>
      <c r="G7" s="1"/>
      <c r="H7" s="1"/>
    </row>
    <row r="8">
      <c r="B8" s="6" t="s">
        <v>10</v>
      </c>
      <c r="C8" s="7" t="s">
        <v>21</v>
      </c>
      <c r="D8" s="8" t="s">
        <v>22</v>
      </c>
      <c r="E8" s="7" t="s">
        <v>21</v>
      </c>
      <c r="F8" s="7" t="s">
        <v>21</v>
      </c>
      <c r="G8" s="7" t="s">
        <v>21</v>
      </c>
      <c r="H8" s="7" t="s">
        <v>21</v>
      </c>
    </row>
    <row r="9">
      <c r="A9" s="9"/>
      <c r="B9" s="10"/>
      <c r="C9" s="10"/>
      <c r="D9" s="10"/>
      <c r="E9" s="11"/>
      <c r="F9" s="10"/>
      <c r="G9" s="10"/>
      <c r="H9" s="10"/>
    </row>
    <row r="10">
      <c r="A10" s="9"/>
      <c r="B10" s="11"/>
      <c r="C10" s="11"/>
      <c r="D10" s="11"/>
      <c r="E10" s="11"/>
      <c r="F10" s="11"/>
      <c r="G10" s="11"/>
      <c r="H10" s="11"/>
    </row>
    <row r="11">
      <c r="A11" s="12"/>
      <c r="B11" s="11"/>
      <c r="C11" s="11"/>
      <c r="D11" s="11"/>
      <c r="E11" s="11"/>
      <c r="F11" s="11"/>
      <c r="G11" s="11"/>
      <c r="H11" s="11"/>
    </row>
    <row r="12">
      <c r="A12" s="12"/>
      <c r="B12" s="11"/>
      <c r="C12" s="11"/>
      <c r="D12" s="11"/>
      <c r="E12" s="11"/>
      <c r="F12" s="11"/>
      <c r="G12" s="11"/>
      <c r="H12" s="11"/>
    </row>
    <row r="13">
      <c r="A13" s="9"/>
      <c r="B13" s="10"/>
      <c r="C13" s="10"/>
      <c r="D13" s="10"/>
      <c r="E13" s="11"/>
      <c r="F13" s="10"/>
      <c r="G13" s="10"/>
      <c r="H13" s="10"/>
    </row>
    <row r="14">
      <c r="A14" s="9"/>
      <c r="B14" s="11"/>
      <c r="C14" s="11"/>
      <c r="D14" s="11"/>
      <c r="E14" s="11"/>
      <c r="F14" s="11"/>
      <c r="G14" s="11"/>
      <c r="H14" s="11"/>
    </row>
    <row r="15">
      <c r="A15" s="9"/>
      <c r="B15" s="10"/>
      <c r="C15" s="10"/>
      <c r="D15" s="10"/>
      <c r="E15" s="11"/>
      <c r="F15" s="10"/>
      <c r="G15" s="10"/>
      <c r="H15" s="10"/>
    </row>
    <row r="16">
      <c r="A16" s="9"/>
      <c r="B16" s="11"/>
      <c r="C16" s="11"/>
      <c r="D16" s="11"/>
      <c r="E16" s="11"/>
      <c r="F16" s="11"/>
      <c r="G16" s="11"/>
      <c r="H16" s="11"/>
    </row>
    <row r="17">
      <c r="A17" s="12"/>
      <c r="B17" s="11"/>
      <c r="C17" s="11"/>
      <c r="D17" s="11"/>
      <c r="E17" s="11"/>
      <c r="F17" s="11"/>
      <c r="G17" s="11"/>
      <c r="H17" s="11"/>
    </row>
    <row r="18">
      <c r="A18" s="12"/>
      <c r="B18" s="11"/>
      <c r="C18" s="11"/>
      <c r="D18" s="11"/>
      <c r="E18" s="11"/>
      <c r="F18" s="11"/>
      <c r="G18" s="11"/>
      <c r="H18" s="11"/>
    </row>
    <row r="19">
      <c r="A19" s="12"/>
      <c r="B19" s="11"/>
      <c r="C19" s="11"/>
      <c r="D19" s="11"/>
      <c r="E19" s="11"/>
      <c r="F19" s="11"/>
      <c r="G19" s="11"/>
      <c r="H19" s="11"/>
    </row>
    <row r="20">
      <c r="A20" s="12"/>
      <c r="B20" s="11"/>
      <c r="C20" s="11"/>
      <c r="D20" s="11"/>
      <c r="E20" s="11"/>
      <c r="F20" s="11"/>
      <c r="G20" s="11"/>
      <c r="H20" s="11"/>
    </row>
    <row r="21">
      <c r="A21" s="12"/>
      <c r="B21" s="11"/>
      <c r="C21" s="11"/>
      <c r="D21" s="11"/>
      <c r="E21" s="11"/>
      <c r="F21" s="11"/>
      <c r="G21" s="11"/>
      <c r="H21" s="11"/>
    </row>
    <row r="22">
      <c r="A22" s="12"/>
      <c r="B22" s="11"/>
      <c r="C22" s="11"/>
      <c r="D22" s="11"/>
      <c r="E22" s="11"/>
      <c r="F22" s="11"/>
      <c r="G22" s="11"/>
      <c r="H22" s="11"/>
    </row>
    <row r="23">
      <c r="A23" s="9"/>
      <c r="B23" s="10"/>
      <c r="C23" s="10"/>
      <c r="D23" s="10"/>
      <c r="E23" s="11"/>
      <c r="F23" s="10"/>
      <c r="G23" s="10"/>
      <c r="H23" s="10"/>
    </row>
    <row r="24">
      <c r="A24" s="9"/>
      <c r="B24" s="11"/>
      <c r="C24" s="11"/>
      <c r="D24" s="11"/>
      <c r="E24" s="11"/>
      <c r="F24" s="11"/>
      <c r="G24" s="11"/>
      <c r="H24" s="9"/>
    </row>
    <row r="25">
      <c r="A25" s="9"/>
      <c r="B25" s="10"/>
      <c r="C25" s="10"/>
      <c r="D25" s="10"/>
      <c r="E25" s="11"/>
      <c r="F25" s="10"/>
      <c r="G25" s="10"/>
      <c r="H25" s="10"/>
    </row>
    <row r="26">
      <c r="A26" s="9"/>
      <c r="B26" s="11"/>
      <c r="C26" s="11"/>
      <c r="D26" s="11"/>
      <c r="E26" s="11"/>
      <c r="F26" s="11"/>
      <c r="G26" s="11"/>
      <c r="H26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2" t="s">
        <v>23</v>
      </c>
      <c r="F1" s="1"/>
      <c r="G1" s="1"/>
      <c r="H1" s="1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4" t="s">
        <v>24</v>
      </c>
      <c r="B3" s="3" t="s">
        <v>13</v>
      </c>
      <c r="C3" s="5" t="s">
        <v>10</v>
      </c>
      <c r="D3" s="3" t="s">
        <v>17</v>
      </c>
      <c r="E3" s="3" t="s">
        <v>12</v>
      </c>
      <c r="F3" s="3" t="s">
        <v>12</v>
      </c>
      <c r="G3" s="3" t="s">
        <v>25</v>
      </c>
      <c r="H3" s="3" t="s">
        <v>26</v>
      </c>
    </row>
    <row r="4">
      <c r="A4" s="4" t="s">
        <v>27</v>
      </c>
      <c r="B4" s="5" t="s">
        <v>10</v>
      </c>
      <c r="C4" s="3" t="s">
        <v>12</v>
      </c>
      <c r="D4" s="3" t="s">
        <v>12</v>
      </c>
      <c r="E4" s="3" t="s">
        <v>28</v>
      </c>
      <c r="F4" s="3" t="s">
        <v>13</v>
      </c>
      <c r="G4" s="3" t="s">
        <v>9</v>
      </c>
      <c r="H4" s="3" t="s">
        <v>14</v>
      </c>
    </row>
    <row r="5">
      <c r="A5" s="4" t="s">
        <v>29</v>
      </c>
      <c r="B5" s="3" t="s">
        <v>28</v>
      </c>
      <c r="C5" s="3" t="s">
        <v>13</v>
      </c>
      <c r="D5" s="5" t="s">
        <v>10</v>
      </c>
      <c r="E5" s="3" t="s">
        <v>13</v>
      </c>
      <c r="F5" s="3" t="s">
        <v>28</v>
      </c>
      <c r="G5" s="3" t="s">
        <v>26</v>
      </c>
      <c r="H5" s="3" t="s">
        <v>9</v>
      </c>
    </row>
    <row r="6">
      <c r="A6" s="4" t="s">
        <v>30</v>
      </c>
      <c r="B6" s="3" t="s">
        <v>12</v>
      </c>
      <c r="C6" s="3" t="s">
        <v>28</v>
      </c>
      <c r="D6" s="3" t="s">
        <v>13</v>
      </c>
      <c r="E6" s="5" t="s">
        <v>10</v>
      </c>
      <c r="F6" s="3" t="s">
        <v>17</v>
      </c>
      <c r="G6" s="3" t="s">
        <v>31</v>
      </c>
      <c r="H6" s="3" t="s">
        <v>31</v>
      </c>
    </row>
    <row r="7">
      <c r="B7" s="1"/>
      <c r="C7" s="1"/>
      <c r="D7" s="1"/>
      <c r="E7" s="2" t="s">
        <v>32</v>
      </c>
      <c r="F7" s="1"/>
      <c r="G7" s="1"/>
      <c r="H7" s="1"/>
    </row>
    <row r="8">
      <c r="B8" s="13" t="s">
        <v>0</v>
      </c>
      <c r="C8" s="13" t="s">
        <v>21</v>
      </c>
      <c r="D8" s="3" t="s">
        <v>12</v>
      </c>
      <c r="E8" s="13" t="s">
        <v>21</v>
      </c>
      <c r="F8" s="13" t="s">
        <v>21</v>
      </c>
      <c r="G8" s="13" t="s">
        <v>21</v>
      </c>
      <c r="H8" s="5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B1" s="1"/>
      <c r="C1" s="1"/>
      <c r="D1" s="1"/>
      <c r="E1" s="2" t="s">
        <v>21</v>
      </c>
      <c r="F1" s="1"/>
      <c r="G1" s="1"/>
      <c r="H1" s="1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4" t="s">
        <v>33</v>
      </c>
      <c r="B3" s="3" t="s">
        <v>12</v>
      </c>
      <c r="C3" s="3" t="s">
        <v>18</v>
      </c>
      <c r="D3" s="5" t="s">
        <v>10</v>
      </c>
      <c r="E3" s="3" t="s">
        <v>18</v>
      </c>
      <c r="F3" s="3" t="s">
        <v>22</v>
      </c>
      <c r="G3" s="3" t="s">
        <v>25</v>
      </c>
      <c r="H3" s="3" t="s">
        <v>19</v>
      </c>
    </row>
    <row r="4">
      <c r="A4" s="4" t="s">
        <v>34</v>
      </c>
      <c r="B4" s="3" t="s">
        <v>35</v>
      </c>
      <c r="C4" s="3" t="s">
        <v>18</v>
      </c>
      <c r="D4" s="5" t="s">
        <v>10</v>
      </c>
      <c r="E4" s="3" t="s">
        <v>28</v>
      </c>
      <c r="F4" s="3" t="s">
        <v>36</v>
      </c>
      <c r="G4" s="3" t="s">
        <v>28</v>
      </c>
      <c r="H4" s="3" t="s">
        <v>37</v>
      </c>
    </row>
    <row r="5">
      <c r="A5" s="4" t="s">
        <v>38</v>
      </c>
      <c r="B5" s="3" t="s">
        <v>28</v>
      </c>
      <c r="C5" s="3" t="s">
        <v>14</v>
      </c>
      <c r="D5" s="5" t="s">
        <v>10</v>
      </c>
      <c r="E5" s="3" t="s">
        <v>28</v>
      </c>
      <c r="F5" s="3" t="s">
        <v>36</v>
      </c>
      <c r="G5" s="3" t="s">
        <v>37</v>
      </c>
      <c r="H5" s="3" t="s">
        <v>9</v>
      </c>
    </row>
    <row r="6">
      <c r="A6" s="4" t="s">
        <v>39</v>
      </c>
      <c r="B6" s="5" t="s">
        <v>10</v>
      </c>
      <c r="C6" s="3" t="s">
        <v>35</v>
      </c>
      <c r="D6" s="3" t="s">
        <v>28</v>
      </c>
      <c r="E6" s="3" t="s">
        <v>28</v>
      </c>
      <c r="F6" s="3" t="s">
        <v>40</v>
      </c>
      <c r="G6" s="3" t="s">
        <v>35</v>
      </c>
      <c r="H6" s="3" t="s">
        <v>37</v>
      </c>
    </row>
    <row r="7">
      <c r="A7" s="4" t="s">
        <v>41</v>
      </c>
      <c r="B7" s="3" t="s">
        <v>28</v>
      </c>
      <c r="C7" s="3" t="s">
        <v>35</v>
      </c>
      <c r="D7" s="3" t="s">
        <v>18</v>
      </c>
      <c r="E7" s="3" t="s">
        <v>22</v>
      </c>
      <c r="F7" s="3" t="s">
        <v>18</v>
      </c>
      <c r="G7" s="3" t="s">
        <v>22</v>
      </c>
      <c r="H7" s="5" t="s">
        <v>10</v>
      </c>
    </row>
    <row r="8">
      <c r="A8" s="4" t="s">
        <v>42</v>
      </c>
      <c r="B8" s="5" t="s">
        <v>10</v>
      </c>
      <c r="C8" s="3" t="s">
        <v>28</v>
      </c>
      <c r="D8" s="3" t="s">
        <v>43</v>
      </c>
      <c r="E8" s="3" t="s">
        <v>13</v>
      </c>
      <c r="F8" s="3" t="s">
        <v>28</v>
      </c>
      <c r="G8" s="3" t="s">
        <v>31</v>
      </c>
      <c r="H8" s="3" t="s">
        <v>18</v>
      </c>
    </row>
    <row r="9">
      <c r="A9" s="4" t="s">
        <v>44</v>
      </c>
      <c r="B9" s="5" t="s">
        <v>10</v>
      </c>
      <c r="C9" s="3" t="s">
        <v>35</v>
      </c>
      <c r="D9" s="3" t="s">
        <v>28</v>
      </c>
      <c r="E9" s="3" t="s">
        <v>13</v>
      </c>
      <c r="F9" s="3" t="s">
        <v>28</v>
      </c>
      <c r="G9" s="3" t="s">
        <v>31</v>
      </c>
      <c r="H9" s="3" t="s">
        <v>37</v>
      </c>
    </row>
    <row r="10">
      <c r="A10" s="4" t="s">
        <v>45</v>
      </c>
      <c r="B10" s="3" t="s">
        <v>13</v>
      </c>
      <c r="C10" s="3" t="s">
        <v>14</v>
      </c>
      <c r="D10" s="3" t="s">
        <v>18</v>
      </c>
      <c r="E10" s="5" t="s">
        <v>10</v>
      </c>
      <c r="F10" s="3" t="s">
        <v>28</v>
      </c>
      <c r="G10" s="3" t="s">
        <v>31</v>
      </c>
      <c r="H10" s="3" t="s">
        <v>28</v>
      </c>
    </row>
    <row r="11">
      <c r="A11" s="4" t="s">
        <v>46</v>
      </c>
      <c r="B11" s="3" t="s">
        <v>28</v>
      </c>
      <c r="C11" s="5" t="s">
        <v>10</v>
      </c>
      <c r="D11" s="3" t="s">
        <v>43</v>
      </c>
      <c r="E11" s="3" t="s">
        <v>13</v>
      </c>
      <c r="F11" s="3" t="s">
        <v>40</v>
      </c>
      <c r="G11" s="3" t="s">
        <v>31</v>
      </c>
      <c r="H11" s="3" t="s">
        <v>28</v>
      </c>
    </row>
    <row r="12">
      <c r="A12" s="4" t="s">
        <v>47</v>
      </c>
      <c r="B12" s="3" t="s">
        <v>28</v>
      </c>
      <c r="C12" s="3" t="s">
        <v>28</v>
      </c>
      <c r="D12" s="3" t="s">
        <v>28</v>
      </c>
      <c r="E12" s="5" t="s">
        <v>10</v>
      </c>
      <c r="F12" s="3" t="s">
        <v>28</v>
      </c>
      <c r="G12" s="3" t="s">
        <v>37</v>
      </c>
      <c r="H12" s="3" t="s">
        <v>43</v>
      </c>
    </row>
    <row r="13">
      <c r="A13" s="4" t="s">
        <v>48</v>
      </c>
      <c r="B13" s="3" t="s">
        <v>13</v>
      </c>
      <c r="C13" s="3" t="s">
        <v>14</v>
      </c>
      <c r="D13" s="3" t="s">
        <v>18</v>
      </c>
      <c r="E13" s="5" t="s">
        <v>10</v>
      </c>
      <c r="F13" s="3" t="s">
        <v>28</v>
      </c>
      <c r="G13" s="3" t="s">
        <v>28</v>
      </c>
      <c r="H13" s="3" t="s">
        <v>28</v>
      </c>
    </row>
    <row r="14">
      <c r="A14" s="4" t="s">
        <v>49</v>
      </c>
      <c r="B14" s="3" t="s">
        <v>28</v>
      </c>
      <c r="C14" s="5" t="s">
        <v>10</v>
      </c>
      <c r="D14" s="3" t="s">
        <v>43</v>
      </c>
      <c r="E14" s="3" t="s">
        <v>28</v>
      </c>
      <c r="F14" s="3" t="s">
        <v>36</v>
      </c>
      <c r="G14" s="3" t="s">
        <v>37</v>
      </c>
      <c r="H14" s="3" t="s">
        <v>9</v>
      </c>
    </row>
    <row r="15">
      <c r="A15" s="4" t="s">
        <v>50</v>
      </c>
      <c r="B15" s="3" t="s">
        <v>18</v>
      </c>
      <c r="C15" s="5" t="s">
        <v>10</v>
      </c>
      <c r="D15" s="3" t="s">
        <v>43</v>
      </c>
      <c r="E15" s="3" t="s">
        <v>18</v>
      </c>
      <c r="F15" s="3" t="s">
        <v>40</v>
      </c>
      <c r="G15" s="3" t="s">
        <v>37</v>
      </c>
      <c r="H15" s="3" t="s">
        <v>43</v>
      </c>
    </row>
    <row r="16">
      <c r="A16" s="4" t="s">
        <v>51</v>
      </c>
      <c r="B16" s="5" t="s">
        <v>10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31</v>
      </c>
      <c r="H16" s="3" t="s">
        <v>18</v>
      </c>
    </row>
    <row r="17">
      <c r="A17" s="4" t="s">
        <v>52</v>
      </c>
      <c r="B17" s="3" t="s">
        <v>28</v>
      </c>
      <c r="C17" s="3" t="s">
        <v>28</v>
      </c>
      <c r="D17" s="5" t="s">
        <v>10</v>
      </c>
      <c r="E17" s="3" t="s">
        <v>28</v>
      </c>
      <c r="F17" s="3" t="s">
        <v>18</v>
      </c>
      <c r="G17" s="3" t="s">
        <v>22</v>
      </c>
      <c r="H17" s="3" t="s">
        <v>37</v>
      </c>
    </row>
    <row r="18">
      <c r="B18" s="1"/>
      <c r="C18" s="1"/>
      <c r="D18" s="1"/>
      <c r="E18" s="2" t="s">
        <v>32</v>
      </c>
      <c r="F18" s="1"/>
      <c r="G18" s="1"/>
      <c r="H18" s="1"/>
    </row>
    <row r="19">
      <c r="B19" s="13" t="s">
        <v>0</v>
      </c>
      <c r="C19" s="3" t="s">
        <v>25</v>
      </c>
      <c r="D19" s="3" t="s">
        <v>25</v>
      </c>
      <c r="E19" s="13" t="s">
        <v>23</v>
      </c>
      <c r="F19" s="3" t="s">
        <v>25</v>
      </c>
      <c r="G19" s="3" t="s">
        <v>12</v>
      </c>
      <c r="H19" s="14"/>
    </row>
    <row r="20">
      <c r="B20" s="1"/>
      <c r="C20" s="1"/>
      <c r="D20" s="1"/>
      <c r="E20" s="2" t="s">
        <v>20</v>
      </c>
      <c r="F20" s="1"/>
      <c r="G20" s="1"/>
      <c r="H20" s="1"/>
    </row>
    <row r="21">
      <c r="B21" s="5" t="s">
        <v>10</v>
      </c>
      <c r="C21" s="3" t="s">
        <v>13</v>
      </c>
      <c r="D21" s="13" t="s">
        <v>0</v>
      </c>
      <c r="E21" s="3" t="s">
        <v>13</v>
      </c>
      <c r="F21" s="3" t="s">
        <v>13</v>
      </c>
      <c r="G21" s="3" t="s">
        <v>25</v>
      </c>
      <c r="H21" s="3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5" max="5" width="18.25"/>
    <col customWidth="1" min="9" max="9" width="23.25"/>
    <col customWidth="1" min="11" max="11" width="14.0"/>
    <col customWidth="1" min="12" max="12" width="23.88"/>
    <col customWidth="1" min="13" max="13" width="19.38"/>
  </cols>
  <sheetData>
    <row r="1">
      <c r="A1" s="15"/>
      <c r="B1" s="16"/>
      <c r="C1" s="16"/>
      <c r="D1" s="16"/>
      <c r="E1" s="17" t="s">
        <v>53</v>
      </c>
      <c r="F1" s="16"/>
      <c r="G1" s="16"/>
      <c r="H1" s="16"/>
      <c r="I1" s="16"/>
    </row>
    <row r="2">
      <c r="A2" s="1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9" t="s">
        <v>54</v>
      </c>
    </row>
    <row r="3">
      <c r="A3" s="20" t="s">
        <v>55</v>
      </c>
      <c r="B3" s="21" t="s">
        <v>10</v>
      </c>
      <c r="C3" s="22" t="s">
        <v>56</v>
      </c>
      <c r="D3" s="22" t="s">
        <v>56</v>
      </c>
      <c r="E3" s="22" t="s">
        <v>12</v>
      </c>
      <c r="F3" s="22" t="s">
        <v>12</v>
      </c>
      <c r="G3" s="22" t="s">
        <v>31</v>
      </c>
      <c r="H3" s="22" t="s">
        <v>31</v>
      </c>
      <c r="I3" s="23" t="s">
        <v>57</v>
      </c>
      <c r="J3" s="24" t="s">
        <v>58</v>
      </c>
      <c r="K3" s="25" t="s">
        <v>59</v>
      </c>
      <c r="L3" s="20" t="s">
        <v>60</v>
      </c>
    </row>
    <row r="4">
      <c r="A4" s="20" t="s">
        <v>61</v>
      </c>
      <c r="B4" s="22" t="s">
        <v>56</v>
      </c>
      <c r="C4" s="21" t="s">
        <v>10</v>
      </c>
      <c r="D4" s="22" t="s">
        <v>56</v>
      </c>
      <c r="E4" s="22" t="s">
        <v>12</v>
      </c>
      <c r="F4" s="22" t="s">
        <v>12</v>
      </c>
      <c r="G4" s="22" t="s">
        <v>31</v>
      </c>
      <c r="H4" s="22" t="s">
        <v>31</v>
      </c>
      <c r="I4" s="23" t="s">
        <v>57</v>
      </c>
      <c r="J4" s="24" t="s">
        <v>62</v>
      </c>
      <c r="K4" s="25" t="s">
        <v>59</v>
      </c>
      <c r="L4" s="20" t="s">
        <v>63</v>
      </c>
    </row>
    <row r="5">
      <c r="A5" s="20" t="s">
        <v>64</v>
      </c>
      <c r="B5" s="22" t="s">
        <v>65</v>
      </c>
      <c r="C5" s="22" t="s">
        <v>65</v>
      </c>
      <c r="D5" s="22" t="s">
        <v>65</v>
      </c>
      <c r="E5" s="21" t="s">
        <v>10</v>
      </c>
      <c r="F5" s="22" t="s">
        <v>65</v>
      </c>
      <c r="G5" s="22" t="s">
        <v>66</v>
      </c>
      <c r="H5" s="22" t="s">
        <v>66</v>
      </c>
      <c r="I5" s="23" t="s">
        <v>67</v>
      </c>
      <c r="J5" s="26" t="s">
        <v>68</v>
      </c>
      <c r="K5" s="25" t="s">
        <v>69</v>
      </c>
      <c r="L5" s="20" t="s">
        <v>70</v>
      </c>
    </row>
    <row r="6">
      <c r="A6" s="20" t="s">
        <v>71</v>
      </c>
      <c r="B6" s="22" t="s">
        <v>72</v>
      </c>
      <c r="C6" s="22" t="s">
        <v>56</v>
      </c>
      <c r="D6" s="21" t="s">
        <v>10</v>
      </c>
      <c r="E6" s="22" t="s">
        <v>12</v>
      </c>
      <c r="F6" s="22" t="s">
        <v>12</v>
      </c>
      <c r="G6" s="22" t="s">
        <v>31</v>
      </c>
      <c r="H6" s="22" t="s">
        <v>31</v>
      </c>
      <c r="I6" s="23" t="s">
        <v>57</v>
      </c>
      <c r="J6" s="24" t="s">
        <v>73</v>
      </c>
      <c r="K6" s="25" t="s">
        <v>59</v>
      </c>
      <c r="L6" s="20" t="s">
        <v>71</v>
      </c>
    </row>
    <row r="7">
      <c r="A7" s="20" t="s">
        <v>70</v>
      </c>
      <c r="B7" s="21" t="s">
        <v>10</v>
      </c>
      <c r="C7" s="22" t="s">
        <v>56</v>
      </c>
      <c r="D7" s="22" t="s">
        <v>56</v>
      </c>
      <c r="E7" s="22" t="s">
        <v>12</v>
      </c>
      <c r="F7" s="22" t="s">
        <v>12</v>
      </c>
      <c r="G7" s="22" t="s">
        <v>12</v>
      </c>
      <c r="H7" s="22" t="s">
        <v>12</v>
      </c>
      <c r="I7" s="23" t="s">
        <v>67</v>
      </c>
      <c r="J7" s="27" t="s">
        <v>74</v>
      </c>
      <c r="K7" s="25" t="s">
        <v>59</v>
      </c>
      <c r="L7" s="20" t="s">
        <v>75</v>
      </c>
    </row>
    <row r="8">
      <c r="A8" s="20" t="s">
        <v>76</v>
      </c>
      <c r="B8" s="22" t="s">
        <v>77</v>
      </c>
      <c r="C8" s="22" t="s">
        <v>78</v>
      </c>
      <c r="D8" s="22" t="s">
        <v>18</v>
      </c>
      <c r="E8" s="21" t="s">
        <v>10</v>
      </c>
      <c r="F8" s="22" t="s">
        <v>12</v>
      </c>
      <c r="G8" s="22" t="s">
        <v>31</v>
      </c>
      <c r="H8" s="22" t="s">
        <v>31</v>
      </c>
      <c r="I8" s="23" t="s">
        <v>79</v>
      </c>
      <c r="J8" s="28" t="s">
        <v>80</v>
      </c>
      <c r="K8" s="25" t="s">
        <v>59</v>
      </c>
      <c r="M8" s="20" t="s">
        <v>81</v>
      </c>
    </row>
    <row r="9">
      <c r="A9" s="20" t="s">
        <v>60</v>
      </c>
      <c r="B9" s="22" t="s">
        <v>82</v>
      </c>
      <c r="C9" s="22" t="s">
        <v>82</v>
      </c>
      <c r="D9" s="22" t="s">
        <v>82</v>
      </c>
      <c r="E9" s="21" t="s">
        <v>10</v>
      </c>
      <c r="F9" s="22" t="s">
        <v>82</v>
      </c>
      <c r="G9" s="22" t="s">
        <v>83</v>
      </c>
      <c r="H9" s="22" t="s">
        <v>83</v>
      </c>
      <c r="I9" s="23" t="s">
        <v>57</v>
      </c>
      <c r="J9" s="24" t="s">
        <v>84</v>
      </c>
      <c r="K9" s="25" t="s">
        <v>85</v>
      </c>
      <c r="L9" s="20" t="s">
        <v>86</v>
      </c>
    </row>
    <row r="10">
      <c r="A10" s="20" t="s">
        <v>63</v>
      </c>
      <c r="B10" s="22" t="s">
        <v>82</v>
      </c>
      <c r="C10" s="22" t="s">
        <v>82</v>
      </c>
      <c r="D10" s="21" t="s">
        <v>10</v>
      </c>
      <c r="E10" s="22" t="s">
        <v>82</v>
      </c>
      <c r="F10" s="22" t="s">
        <v>82</v>
      </c>
      <c r="G10" s="22" t="s">
        <v>83</v>
      </c>
      <c r="H10" s="22" t="s">
        <v>83</v>
      </c>
      <c r="I10" s="23" t="s">
        <v>57</v>
      </c>
      <c r="J10" s="24" t="s">
        <v>87</v>
      </c>
      <c r="K10" s="25" t="s">
        <v>85</v>
      </c>
      <c r="L10" s="20" t="s">
        <v>88</v>
      </c>
    </row>
    <row r="11">
      <c r="A11" s="20" t="s">
        <v>89</v>
      </c>
      <c r="B11" s="22" t="s">
        <v>56</v>
      </c>
      <c r="C11" s="21" t="s">
        <v>10</v>
      </c>
      <c r="D11" s="22" t="s">
        <v>90</v>
      </c>
      <c r="E11" s="22" t="s">
        <v>90</v>
      </c>
      <c r="F11" s="22" t="s">
        <v>90</v>
      </c>
      <c r="G11" s="29" t="s">
        <v>25</v>
      </c>
      <c r="H11" s="29" t="s">
        <v>25</v>
      </c>
      <c r="I11" s="23" t="s">
        <v>67</v>
      </c>
      <c r="J11" s="27" t="s">
        <v>91</v>
      </c>
      <c r="K11" s="25" t="s">
        <v>85</v>
      </c>
      <c r="L11" s="20" t="s">
        <v>64</v>
      </c>
    </row>
    <row r="12">
      <c r="A12" s="20" t="s">
        <v>88</v>
      </c>
      <c r="B12" s="22" t="s">
        <v>82</v>
      </c>
      <c r="C12" s="21" t="s">
        <v>10</v>
      </c>
      <c r="D12" s="22" t="s">
        <v>82</v>
      </c>
      <c r="E12" s="22" t="s">
        <v>82</v>
      </c>
      <c r="F12" s="22" t="s">
        <v>82</v>
      </c>
      <c r="G12" s="22" t="s">
        <v>83</v>
      </c>
      <c r="H12" s="22" t="s">
        <v>83</v>
      </c>
      <c r="I12" s="23" t="s">
        <v>57</v>
      </c>
      <c r="J12" s="24" t="s">
        <v>92</v>
      </c>
      <c r="K12" s="25" t="s">
        <v>85</v>
      </c>
      <c r="L12" s="20" t="s">
        <v>93</v>
      </c>
    </row>
    <row r="13">
      <c r="A13" s="20" t="s">
        <v>93</v>
      </c>
      <c r="B13" s="21" t="s">
        <v>10</v>
      </c>
      <c r="C13" s="22" t="s">
        <v>65</v>
      </c>
      <c r="D13" s="22" t="s">
        <v>65</v>
      </c>
      <c r="E13" s="22" t="s">
        <v>65</v>
      </c>
      <c r="F13" s="22" t="s">
        <v>65</v>
      </c>
      <c r="G13" s="22" t="s">
        <v>66</v>
      </c>
      <c r="H13" s="22" t="s">
        <v>66</v>
      </c>
      <c r="I13" s="23" t="s">
        <v>57</v>
      </c>
      <c r="J13" s="24" t="s">
        <v>94</v>
      </c>
      <c r="K13" s="25" t="s">
        <v>69</v>
      </c>
      <c r="L13" s="20" t="s">
        <v>55</v>
      </c>
    </row>
    <row r="14">
      <c r="A14" s="20" t="s">
        <v>75</v>
      </c>
      <c r="B14" s="22" t="s">
        <v>65</v>
      </c>
      <c r="C14" s="22" t="s">
        <v>65</v>
      </c>
      <c r="D14" s="21" t="s">
        <v>10</v>
      </c>
      <c r="E14" s="22" t="s">
        <v>65</v>
      </c>
      <c r="F14" s="22" t="s">
        <v>65</v>
      </c>
      <c r="G14" s="22" t="s">
        <v>66</v>
      </c>
      <c r="H14" s="22" t="s">
        <v>66</v>
      </c>
      <c r="I14" s="23" t="s">
        <v>67</v>
      </c>
      <c r="J14" s="27" t="s">
        <v>95</v>
      </c>
      <c r="K14" s="25" t="s">
        <v>69</v>
      </c>
      <c r="L14" s="20" t="s">
        <v>89</v>
      </c>
    </row>
    <row r="15">
      <c r="A15" s="20" t="s">
        <v>86</v>
      </c>
      <c r="B15" s="22" t="s">
        <v>65</v>
      </c>
      <c r="C15" s="21" t="s">
        <v>10</v>
      </c>
      <c r="D15" s="22" t="s">
        <v>65</v>
      </c>
      <c r="E15" s="22" t="s">
        <v>65</v>
      </c>
      <c r="F15" s="22" t="s">
        <v>65</v>
      </c>
      <c r="G15" s="22" t="s">
        <v>66</v>
      </c>
      <c r="H15" s="22" t="s">
        <v>66</v>
      </c>
      <c r="I15" s="23" t="s">
        <v>57</v>
      </c>
      <c r="J15" s="24" t="s">
        <v>96</v>
      </c>
      <c r="K15" s="25" t="s">
        <v>69</v>
      </c>
      <c r="L15" s="20" t="s">
        <v>61</v>
      </c>
    </row>
    <row r="16">
      <c r="A16" s="20" t="s">
        <v>81</v>
      </c>
      <c r="B16" s="21" t="s">
        <v>10</v>
      </c>
      <c r="C16" s="22" t="s">
        <v>97</v>
      </c>
      <c r="D16" s="22" t="s">
        <v>97</v>
      </c>
      <c r="E16" s="22" t="s">
        <v>13</v>
      </c>
      <c r="F16" s="22" t="s">
        <v>97</v>
      </c>
      <c r="G16" s="22" t="s">
        <v>98</v>
      </c>
      <c r="H16" s="22" t="s">
        <v>98</v>
      </c>
      <c r="I16" s="23" t="s">
        <v>79</v>
      </c>
      <c r="J16" s="28" t="s">
        <v>99</v>
      </c>
      <c r="K16" s="25" t="s">
        <v>85</v>
      </c>
      <c r="M16" s="20" t="s">
        <v>100</v>
      </c>
    </row>
    <row r="17">
      <c r="A17" s="20" t="s">
        <v>100</v>
      </c>
      <c r="B17" s="22" t="s">
        <v>65</v>
      </c>
      <c r="C17" s="22" t="s">
        <v>65</v>
      </c>
      <c r="D17" s="21" t="s">
        <v>10</v>
      </c>
      <c r="E17" s="22" t="s">
        <v>65</v>
      </c>
      <c r="F17" s="22" t="s">
        <v>65</v>
      </c>
      <c r="G17" s="22" t="s">
        <v>66</v>
      </c>
      <c r="H17" s="22" t="s">
        <v>66</v>
      </c>
      <c r="I17" s="23" t="s">
        <v>101</v>
      </c>
      <c r="J17" s="24" t="s">
        <v>102</v>
      </c>
      <c r="K17" s="25" t="s">
        <v>69</v>
      </c>
      <c r="L17" s="28" t="s">
        <v>103</v>
      </c>
      <c r="M17" s="20" t="s">
        <v>76</v>
      </c>
    </row>
    <row r="18">
      <c r="A18" s="9"/>
      <c r="B18" s="9"/>
      <c r="C18" s="9"/>
      <c r="D18" s="9"/>
      <c r="E18" s="9"/>
      <c r="F18" s="9"/>
      <c r="G18" s="9"/>
      <c r="H18" s="9"/>
    </row>
    <row r="27">
      <c r="B27" s="16"/>
      <c r="C27" s="17" t="s">
        <v>53</v>
      </c>
      <c r="D27" s="16"/>
      <c r="E27" s="16"/>
    </row>
    <row r="28">
      <c r="B28" s="18" t="s">
        <v>5</v>
      </c>
      <c r="C28" s="18" t="s">
        <v>6</v>
      </c>
      <c r="D28" s="18" t="s">
        <v>7</v>
      </c>
      <c r="E28" s="19" t="s">
        <v>54</v>
      </c>
    </row>
    <row r="29">
      <c r="A29" s="20" t="s">
        <v>104</v>
      </c>
      <c r="B29" s="22" t="s">
        <v>78</v>
      </c>
      <c r="C29" s="22" t="s">
        <v>105</v>
      </c>
      <c r="D29" s="22" t="s">
        <v>105</v>
      </c>
      <c r="E29" s="23" t="s">
        <v>57</v>
      </c>
    </row>
    <row r="30">
      <c r="A30" s="20" t="s">
        <v>88</v>
      </c>
      <c r="B30" s="22" t="s">
        <v>78</v>
      </c>
      <c r="C30" s="22" t="s">
        <v>105</v>
      </c>
      <c r="D30" s="22" t="s">
        <v>105</v>
      </c>
      <c r="E30" s="23" t="s">
        <v>57</v>
      </c>
    </row>
    <row r="31">
      <c r="A31" s="20" t="s">
        <v>106</v>
      </c>
      <c r="B31" s="22" t="s">
        <v>107</v>
      </c>
      <c r="C31" s="22" t="s">
        <v>108</v>
      </c>
      <c r="D31" s="22" t="s">
        <v>108</v>
      </c>
      <c r="E31" s="23" t="s">
        <v>67</v>
      </c>
    </row>
    <row r="32">
      <c r="A32" s="20" t="s">
        <v>109</v>
      </c>
      <c r="B32" s="22" t="s">
        <v>78</v>
      </c>
      <c r="C32" s="22" t="s">
        <v>105</v>
      </c>
      <c r="D32" s="22" t="s">
        <v>105</v>
      </c>
      <c r="E32" s="23" t="s">
        <v>57</v>
      </c>
    </row>
    <row r="33">
      <c r="A33" s="20" t="s">
        <v>89</v>
      </c>
      <c r="B33" s="22" t="s">
        <v>78</v>
      </c>
      <c r="C33" s="22" t="s">
        <v>105</v>
      </c>
      <c r="D33" s="22" t="s">
        <v>105</v>
      </c>
      <c r="E33" s="23" t="s">
        <v>67</v>
      </c>
    </row>
    <row r="34">
      <c r="A34" s="20" t="s">
        <v>81</v>
      </c>
      <c r="B34" s="22" t="s">
        <v>78</v>
      </c>
      <c r="C34" s="22" t="s">
        <v>105</v>
      </c>
      <c r="D34" s="22" t="s">
        <v>105</v>
      </c>
      <c r="E34" s="23" t="s">
        <v>79</v>
      </c>
    </row>
    <row r="35">
      <c r="A35" s="20" t="s">
        <v>55</v>
      </c>
      <c r="B35" s="22" t="s">
        <v>82</v>
      </c>
      <c r="C35" s="22" t="s">
        <v>83</v>
      </c>
      <c r="D35" s="22" t="s">
        <v>83</v>
      </c>
      <c r="E35" s="23" t="s">
        <v>57</v>
      </c>
    </row>
    <row r="36">
      <c r="A36" s="20" t="s">
        <v>110</v>
      </c>
      <c r="B36" s="22" t="s">
        <v>82</v>
      </c>
      <c r="C36" s="22" t="s">
        <v>83</v>
      </c>
      <c r="D36" s="22" t="s">
        <v>83</v>
      </c>
      <c r="E36" s="23" t="s">
        <v>57</v>
      </c>
    </row>
    <row r="37">
      <c r="A37" s="20" t="s">
        <v>70</v>
      </c>
      <c r="B37" s="22" t="s">
        <v>90</v>
      </c>
      <c r="C37" s="29" t="s">
        <v>25</v>
      </c>
      <c r="D37" s="29" t="s">
        <v>25</v>
      </c>
      <c r="E37" s="23" t="s">
        <v>67</v>
      </c>
    </row>
    <row r="38">
      <c r="A38" s="20" t="s">
        <v>93</v>
      </c>
      <c r="B38" s="22" t="s">
        <v>82</v>
      </c>
      <c r="C38" s="22" t="s">
        <v>83</v>
      </c>
      <c r="D38" s="22" t="s">
        <v>83</v>
      </c>
      <c r="E38" s="23" t="s">
        <v>57</v>
      </c>
    </row>
    <row r="39">
      <c r="A39" s="20" t="s">
        <v>60</v>
      </c>
      <c r="B39" s="22" t="s">
        <v>107</v>
      </c>
      <c r="C39" s="22" t="s">
        <v>108</v>
      </c>
      <c r="D39" s="22" t="s">
        <v>108</v>
      </c>
      <c r="E39" s="23" t="s">
        <v>57</v>
      </c>
    </row>
    <row r="40">
      <c r="A40" s="20" t="s">
        <v>111</v>
      </c>
      <c r="B40" s="22" t="s">
        <v>107</v>
      </c>
      <c r="C40" s="22" t="s">
        <v>108</v>
      </c>
      <c r="D40" s="22" t="s">
        <v>108</v>
      </c>
      <c r="E40" s="23" t="s">
        <v>67</v>
      </c>
    </row>
    <row r="41">
      <c r="A41" s="20" t="s">
        <v>112</v>
      </c>
      <c r="B41" s="22" t="s">
        <v>107</v>
      </c>
      <c r="C41" s="22" t="s">
        <v>108</v>
      </c>
      <c r="D41" s="22" t="s">
        <v>108</v>
      </c>
      <c r="E41" s="23" t="s">
        <v>57</v>
      </c>
    </row>
    <row r="42">
      <c r="A42" s="20" t="s">
        <v>100</v>
      </c>
      <c r="B42" s="22" t="s">
        <v>97</v>
      </c>
      <c r="C42" s="22" t="s">
        <v>98</v>
      </c>
      <c r="D42" s="22" t="s">
        <v>98</v>
      </c>
      <c r="E42" s="23" t="s">
        <v>79</v>
      </c>
    </row>
    <row r="43">
      <c r="A43" s="20" t="s">
        <v>76</v>
      </c>
      <c r="B43" s="22" t="s">
        <v>107</v>
      </c>
      <c r="C43" s="22" t="s">
        <v>108</v>
      </c>
      <c r="D43" s="22" t="s">
        <v>108</v>
      </c>
      <c r="E43" s="23" t="s">
        <v>101</v>
      </c>
    </row>
  </sheetData>
  <autoFilter ref="$I$1:$I$1005"/>
  <dataValidations>
    <dataValidation type="list" allowBlank="1" showErrorMessage="1" sqref="I3:I17">
      <formula1>"RABAT,SALE,TEMMARA,RABAT - TEMMARA"</formula1>
    </dataValidation>
    <dataValidation type="list" allowBlank="1" showErrorMessage="1" sqref="K3:K17">
      <formula1>"MORNING,NIGHT,MIDDLE"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113</v>
      </c>
      <c r="B2" s="5" t="s">
        <v>10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31</v>
      </c>
      <c r="H2" s="3" t="s">
        <v>18</v>
      </c>
    </row>
    <row r="3">
      <c r="A3" s="4" t="s">
        <v>114</v>
      </c>
      <c r="B3" s="3" t="s">
        <v>28</v>
      </c>
      <c r="C3" s="3" t="s">
        <v>35</v>
      </c>
      <c r="D3" s="5" t="s">
        <v>10</v>
      </c>
      <c r="E3" s="3" t="s">
        <v>28</v>
      </c>
      <c r="F3" s="3" t="s">
        <v>18</v>
      </c>
      <c r="G3" s="3" t="s">
        <v>22</v>
      </c>
      <c r="H3" s="3" t="s">
        <v>37</v>
      </c>
    </row>
    <row r="4">
      <c r="A4" s="4" t="s">
        <v>115</v>
      </c>
      <c r="B4" s="3" t="s">
        <v>12</v>
      </c>
      <c r="C4" s="5" t="s">
        <v>10</v>
      </c>
      <c r="D4" s="3" t="s">
        <v>28</v>
      </c>
      <c r="E4" s="3" t="s">
        <v>116</v>
      </c>
      <c r="F4" s="3" t="s">
        <v>28</v>
      </c>
      <c r="G4" s="3" t="s">
        <v>25</v>
      </c>
      <c r="H4" s="3" t="s">
        <v>19</v>
      </c>
    </row>
    <row r="5">
      <c r="A5" s="4" t="s">
        <v>117</v>
      </c>
      <c r="B5" s="3" t="s">
        <v>13</v>
      </c>
      <c r="C5" s="3" t="s">
        <v>14</v>
      </c>
      <c r="D5" s="3" t="s">
        <v>18</v>
      </c>
      <c r="E5" s="5" t="s">
        <v>10</v>
      </c>
      <c r="F5" s="3" t="s">
        <v>28</v>
      </c>
      <c r="G5" s="3" t="s">
        <v>31</v>
      </c>
      <c r="H5" s="3" t="s">
        <v>28</v>
      </c>
    </row>
    <row r="6">
      <c r="A6" s="4" t="s">
        <v>118</v>
      </c>
      <c r="B6" s="3" t="s">
        <v>13</v>
      </c>
      <c r="C6" s="3" t="s">
        <v>14</v>
      </c>
      <c r="D6" s="3" t="s">
        <v>18</v>
      </c>
      <c r="E6" s="5" t="s">
        <v>10</v>
      </c>
      <c r="F6" s="3" t="s">
        <v>28</v>
      </c>
      <c r="G6" s="3" t="s">
        <v>31</v>
      </c>
      <c r="H6" s="3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4" max="4" width="32.25"/>
  </cols>
  <sheetData>
    <row r="1">
      <c r="A1" s="30" t="s">
        <v>119</v>
      </c>
      <c r="B1" s="30" t="s">
        <v>120</v>
      </c>
      <c r="C1" s="30" t="s">
        <v>121</v>
      </c>
      <c r="D1" s="31" t="s">
        <v>122</v>
      </c>
    </row>
    <row r="2">
      <c r="A2" s="30" t="s">
        <v>123</v>
      </c>
      <c r="B2" s="30" t="s">
        <v>21</v>
      </c>
      <c r="C2" s="32">
        <f>21626267958</f>
        <v>21626267958</v>
      </c>
      <c r="D2" s="33" t="s">
        <v>124</v>
      </c>
    </row>
    <row r="3">
      <c r="A3" s="30" t="s">
        <v>125</v>
      </c>
      <c r="B3" s="30" t="s">
        <v>21</v>
      </c>
      <c r="C3" s="34">
        <f>212633588784</f>
        <v>212633588784</v>
      </c>
      <c r="D3" s="35" t="s">
        <v>126</v>
      </c>
    </row>
    <row r="4">
      <c r="A4" s="30" t="s">
        <v>127</v>
      </c>
      <c r="B4" s="30" t="s">
        <v>21</v>
      </c>
      <c r="C4" s="34">
        <f>212777963658</f>
        <v>212777963658</v>
      </c>
      <c r="D4" s="35" t="s">
        <v>128</v>
      </c>
    </row>
    <row r="5">
      <c r="A5" s="30" t="s">
        <v>129</v>
      </c>
      <c r="B5" s="30" t="s">
        <v>21</v>
      </c>
      <c r="C5" s="34">
        <f>212689378401</f>
        <v>212689378401</v>
      </c>
      <c r="D5" s="35" t="s">
        <v>130</v>
      </c>
    </row>
    <row r="6">
      <c r="A6" s="30" t="s">
        <v>46</v>
      </c>
      <c r="B6" s="30" t="s">
        <v>21</v>
      </c>
      <c r="C6" s="34">
        <f>212617931926</f>
        <v>212617931926</v>
      </c>
      <c r="D6" s="35" t="s">
        <v>131</v>
      </c>
    </row>
    <row r="7">
      <c r="A7" s="30" t="s">
        <v>132</v>
      </c>
      <c r="B7" s="30" t="s">
        <v>21</v>
      </c>
      <c r="C7" s="34">
        <f>212649766602</f>
        <v>212649766602</v>
      </c>
      <c r="D7" s="33" t="s">
        <v>133</v>
      </c>
    </row>
    <row r="8">
      <c r="A8" s="30" t="s">
        <v>50</v>
      </c>
      <c r="B8" s="30" t="s">
        <v>21</v>
      </c>
      <c r="C8" s="34">
        <f>212674255389</f>
        <v>212674255389</v>
      </c>
      <c r="D8" s="33" t="s">
        <v>134</v>
      </c>
    </row>
    <row r="9">
      <c r="A9" s="30" t="s">
        <v>135</v>
      </c>
      <c r="B9" s="30" t="s">
        <v>21</v>
      </c>
      <c r="C9" s="34">
        <f>212674158846</f>
        <v>212674158846</v>
      </c>
      <c r="D9" s="33" t="s">
        <v>136</v>
      </c>
    </row>
    <row r="10">
      <c r="A10" s="30" t="s">
        <v>137</v>
      </c>
      <c r="B10" s="30" t="s">
        <v>21</v>
      </c>
      <c r="C10" s="34">
        <f>212663267656</f>
        <v>212663267656</v>
      </c>
      <c r="D10" s="35" t="s">
        <v>138</v>
      </c>
    </row>
    <row r="11">
      <c r="A11" s="30" t="s">
        <v>139</v>
      </c>
      <c r="B11" s="30" t="s">
        <v>21</v>
      </c>
      <c r="C11" s="34">
        <f>212689902024</f>
        <v>212689902024</v>
      </c>
      <c r="D11" s="33" t="s">
        <v>140</v>
      </c>
    </row>
    <row r="12">
      <c r="A12" s="30" t="s">
        <v>141</v>
      </c>
      <c r="B12" s="30" t="s">
        <v>21</v>
      </c>
      <c r="C12" s="34">
        <f>212639759633</f>
        <v>212639759633</v>
      </c>
      <c r="D12" s="35" t="s">
        <v>142</v>
      </c>
    </row>
    <row r="13">
      <c r="A13" s="30" t="s">
        <v>143</v>
      </c>
      <c r="B13" s="30" t="s">
        <v>23</v>
      </c>
      <c r="C13" s="34">
        <f>212631262750</f>
        <v>212631262750</v>
      </c>
      <c r="D13" s="33" t="s">
        <v>144</v>
      </c>
    </row>
    <row r="14">
      <c r="A14" s="30" t="s">
        <v>145</v>
      </c>
      <c r="B14" s="30" t="s">
        <v>23</v>
      </c>
      <c r="C14" s="34">
        <f>212750114594</f>
        <v>212750114594</v>
      </c>
      <c r="D14" s="35" t="s">
        <v>146</v>
      </c>
    </row>
    <row r="15">
      <c r="A15" s="30" t="s">
        <v>147</v>
      </c>
      <c r="B15" s="30" t="s">
        <v>23</v>
      </c>
      <c r="C15" s="34">
        <f>212773937802</f>
        <v>212773937802</v>
      </c>
      <c r="D15" s="35" t="s">
        <v>148</v>
      </c>
    </row>
    <row r="16">
      <c r="A16" s="30" t="s">
        <v>149</v>
      </c>
      <c r="B16" s="30" t="s">
        <v>23</v>
      </c>
      <c r="C16" s="34">
        <f>212656820340</f>
        <v>212656820340</v>
      </c>
      <c r="D16" s="35" t="s">
        <v>150</v>
      </c>
    </row>
    <row r="17">
      <c r="A17" s="30" t="s">
        <v>151</v>
      </c>
      <c r="B17" s="30" t="s">
        <v>0</v>
      </c>
      <c r="C17" s="34">
        <f>212699931599</f>
        <v>212699931599</v>
      </c>
      <c r="D17" s="35" t="s">
        <v>152</v>
      </c>
    </row>
    <row r="18">
      <c r="A18" s="30" t="s">
        <v>153</v>
      </c>
      <c r="B18" s="30" t="s">
        <v>0</v>
      </c>
      <c r="C18" s="34">
        <f>212651541811</f>
        <v>212651541811</v>
      </c>
      <c r="D18" s="35" t="s">
        <v>154</v>
      </c>
    </row>
    <row r="19">
      <c r="A19" s="30" t="s">
        <v>155</v>
      </c>
      <c r="B19" s="30" t="s">
        <v>0</v>
      </c>
      <c r="C19" s="34">
        <f>212706572625</f>
        <v>212706572625</v>
      </c>
      <c r="D19" s="33" t="s">
        <v>156</v>
      </c>
    </row>
    <row r="20">
      <c r="A20" s="36" t="s">
        <v>55</v>
      </c>
      <c r="B20" s="30" t="s">
        <v>53</v>
      </c>
      <c r="C20" s="34">
        <f>212687884364</f>
        <v>212687884364</v>
      </c>
      <c r="D20" s="35" t="s">
        <v>157</v>
      </c>
    </row>
    <row r="21">
      <c r="A21" s="36" t="s">
        <v>61</v>
      </c>
      <c r="B21" s="30" t="s">
        <v>53</v>
      </c>
      <c r="C21" s="34">
        <f>212617090357</f>
        <v>212617090357</v>
      </c>
      <c r="D21" s="33" t="s">
        <v>158</v>
      </c>
    </row>
    <row r="22">
      <c r="A22" s="36" t="s">
        <v>64</v>
      </c>
      <c r="B22" s="30" t="s">
        <v>53</v>
      </c>
      <c r="C22" s="34">
        <f>212680508330</f>
        <v>212680508330</v>
      </c>
      <c r="D22" s="33" t="s">
        <v>159</v>
      </c>
    </row>
    <row r="23">
      <c r="A23" s="36" t="s">
        <v>71</v>
      </c>
      <c r="B23" s="30" t="s">
        <v>53</v>
      </c>
      <c r="C23" s="34">
        <f>212714387069</f>
        <v>212714387069</v>
      </c>
      <c r="D23" s="33" t="s">
        <v>160</v>
      </c>
    </row>
    <row r="24">
      <c r="A24" s="36" t="s">
        <v>70</v>
      </c>
      <c r="B24" s="30" t="s">
        <v>53</v>
      </c>
      <c r="C24" s="34">
        <f>212694518471</f>
        <v>212694518471</v>
      </c>
      <c r="D24" s="35" t="s">
        <v>161</v>
      </c>
    </row>
    <row r="25">
      <c r="A25" s="36" t="s">
        <v>76</v>
      </c>
      <c r="B25" s="30" t="s">
        <v>53</v>
      </c>
      <c r="C25" s="34">
        <f>212659509839</f>
        <v>212659509839</v>
      </c>
      <c r="D25" s="33" t="s">
        <v>162</v>
      </c>
    </row>
    <row r="26">
      <c r="A26" s="36" t="s">
        <v>60</v>
      </c>
      <c r="B26" s="30" t="s">
        <v>53</v>
      </c>
      <c r="C26" s="34">
        <f>212618931816</f>
        <v>212618931816</v>
      </c>
      <c r="D26" s="35" t="s">
        <v>163</v>
      </c>
    </row>
    <row r="27">
      <c r="A27" s="36" t="s">
        <v>63</v>
      </c>
      <c r="B27" s="30" t="s">
        <v>53</v>
      </c>
      <c r="C27" s="34">
        <f>212661826078</f>
        <v>212661826078</v>
      </c>
      <c r="D27" s="33" t="s">
        <v>164</v>
      </c>
    </row>
    <row r="28">
      <c r="A28" s="36" t="s">
        <v>89</v>
      </c>
      <c r="B28" s="30" t="s">
        <v>53</v>
      </c>
      <c r="C28" s="34">
        <f>212636854445</f>
        <v>212636854445</v>
      </c>
      <c r="D28" s="35" t="s">
        <v>165</v>
      </c>
    </row>
    <row r="29">
      <c r="A29" s="36" t="s">
        <v>93</v>
      </c>
      <c r="B29" s="30" t="s">
        <v>53</v>
      </c>
      <c r="C29" s="34">
        <f>212627238755</f>
        <v>212627238755</v>
      </c>
      <c r="D29" s="33" t="s">
        <v>166</v>
      </c>
    </row>
    <row r="30">
      <c r="A30" s="36" t="s">
        <v>86</v>
      </c>
      <c r="B30" s="30" t="s">
        <v>53</v>
      </c>
      <c r="C30" s="34">
        <f>212779065084</f>
        <v>212779065084</v>
      </c>
      <c r="D30" s="33" t="s">
        <v>167</v>
      </c>
    </row>
    <row r="31">
      <c r="A31" s="36" t="s">
        <v>75</v>
      </c>
      <c r="B31" s="30" t="s">
        <v>53</v>
      </c>
      <c r="C31" s="34">
        <f>212719481448</f>
        <v>212719481448</v>
      </c>
      <c r="D31" s="33" t="s">
        <v>168</v>
      </c>
    </row>
    <row r="32">
      <c r="A32" s="36" t="s">
        <v>88</v>
      </c>
      <c r="B32" s="30" t="s">
        <v>53</v>
      </c>
      <c r="C32" s="34">
        <f>212663651025</f>
        <v>212663651025</v>
      </c>
      <c r="D32" s="33" t="s">
        <v>169</v>
      </c>
    </row>
    <row r="33">
      <c r="A33" s="36" t="s">
        <v>81</v>
      </c>
      <c r="B33" s="30" t="s">
        <v>53</v>
      </c>
      <c r="C33" s="34">
        <f>212676512835</f>
        <v>212676512835</v>
      </c>
      <c r="D33" s="35" t="s">
        <v>170</v>
      </c>
    </row>
    <row r="34">
      <c r="A34" s="36" t="s">
        <v>100</v>
      </c>
      <c r="B34" s="30" t="s">
        <v>53</v>
      </c>
      <c r="C34" s="34">
        <f>212700762882</f>
        <v>212700762882</v>
      </c>
      <c r="D34" s="35" t="s">
        <v>171</v>
      </c>
    </row>
    <row r="35">
      <c r="A35" s="37" t="s">
        <v>51</v>
      </c>
      <c r="B35" s="30" t="s">
        <v>21</v>
      </c>
      <c r="C35" s="34">
        <f>212675828261</f>
        <v>212675828261</v>
      </c>
      <c r="D35" s="33" t="s">
        <v>172</v>
      </c>
    </row>
    <row r="36">
      <c r="A36" s="37" t="s">
        <v>52</v>
      </c>
      <c r="B36" s="30" t="s">
        <v>21</v>
      </c>
      <c r="C36" s="34">
        <f>212621027640</f>
        <v>212621027640</v>
      </c>
      <c r="D36" s="35" t="s">
        <v>173</v>
      </c>
    </row>
    <row r="37">
      <c r="A37" s="37" t="s">
        <v>115</v>
      </c>
      <c r="B37" s="30" t="s">
        <v>21</v>
      </c>
      <c r="C37" s="34">
        <f>212707000820</f>
        <v>212707000820</v>
      </c>
      <c r="D37" s="35" t="s">
        <v>174</v>
      </c>
    </row>
    <row r="38">
      <c r="A38" s="37" t="s">
        <v>117</v>
      </c>
      <c r="B38" s="30" t="s">
        <v>21</v>
      </c>
      <c r="C38" s="34">
        <f>212665769242</f>
        <v>212665769242</v>
      </c>
      <c r="D38" s="35" t="s">
        <v>175</v>
      </c>
    </row>
    <row r="39">
      <c r="A39" s="37" t="s">
        <v>176</v>
      </c>
      <c r="B39" s="30" t="s">
        <v>21</v>
      </c>
      <c r="C39" s="34">
        <f>212614672734</f>
        <v>212614672734</v>
      </c>
      <c r="D39" s="33" t="s">
        <v>177</v>
      </c>
    </row>
    <row r="40">
      <c r="A40" s="37" t="s">
        <v>49</v>
      </c>
      <c r="B40" s="30" t="s">
        <v>21</v>
      </c>
      <c r="C40" s="34">
        <f>212629172861</f>
        <v>212629172861</v>
      </c>
      <c r="D40" s="35" t="s">
        <v>178</v>
      </c>
    </row>
    <row r="41">
      <c r="A41" s="37" t="s">
        <v>179</v>
      </c>
      <c r="B41" s="30" t="s">
        <v>21</v>
      </c>
      <c r="C41" s="34">
        <f>212691101642</f>
        <v>212691101642</v>
      </c>
      <c r="D41" s="33" t="s">
        <v>180</v>
      </c>
    </row>
    <row r="42">
      <c r="A42" s="37" t="s">
        <v>48</v>
      </c>
      <c r="B42" s="30" t="s">
        <v>21</v>
      </c>
      <c r="C42" s="34">
        <f>21200846592</f>
        <v>21200846592</v>
      </c>
      <c r="D42" s="35" t="s">
        <v>181</v>
      </c>
    </row>
  </sheetData>
  <hyperlinks>
    <hyperlink r:id="rId1" ref="D3"/>
    <hyperlink r:id="rId2" ref="D4"/>
    <hyperlink r:id="rId3" ref="D5"/>
    <hyperlink r:id="rId4" ref="D6"/>
    <hyperlink r:id="rId5" ref="D10"/>
    <hyperlink r:id="rId6" ref="D12"/>
    <hyperlink r:id="rId7" ref="D14"/>
    <hyperlink r:id="rId8" ref="D15"/>
    <hyperlink r:id="rId9" ref="D16"/>
    <hyperlink r:id="rId10" ref="D17"/>
    <hyperlink r:id="rId11" ref="D18"/>
    <hyperlink r:id="rId12" ref="D20"/>
    <hyperlink r:id="rId13" ref="D24"/>
    <hyperlink r:id="rId14" ref="D26"/>
    <hyperlink r:id="rId15" ref="D28"/>
    <hyperlink r:id="rId16" ref="D33"/>
    <hyperlink r:id="rId17" ref="D34"/>
    <hyperlink r:id="rId18" ref="D36"/>
    <hyperlink r:id="rId19" ref="D37"/>
    <hyperlink r:id="rId20" ref="D38"/>
    <hyperlink r:id="rId21" ref="D40"/>
    <hyperlink r:id="rId22" ref="D42"/>
  </hyperlinks>
  <drawing r:id="rId23"/>
</worksheet>
</file>